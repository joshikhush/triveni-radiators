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KAMAL\OTHER\B-2\Rohan Sir\"/>
    </mc:Choice>
  </mc:AlternateContent>
  <xr:revisionPtr revIDLastSave="0" documentId="13_ncr:1_{527B232D-B0FB-4DCC-A1C6-667DD99A70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9" i="1"/>
  <c r="B28" i="1"/>
  <c r="B27" i="1"/>
  <c r="B26" i="1"/>
  <c r="B25" i="1"/>
  <c r="B24" i="1"/>
  <c r="B23" i="1"/>
  <c r="B20" i="1"/>
  <c r="B19" i="1"/>
  <c r="B18" i="1"/>
  <c r="B17" i="1"/>
  <c r="B16" i="1"/>
  <c r="B15" i="1"/>
  <c r="B13" i="1"/>
  <c r="B12" i="1"/>
  <c r="B11" i="1"/>
  <c r="B10" i="1"/>
  <c r="B8" i="1"/>
  <c r="B6" i="1" l="1"/>
  <c r="B29" i="1"/>
  <c r="B21" i="1"/>
</calcChain>
</file>

<file path=xl/sharedStrings.xml><?xml version="1.0" encoding="utf-8"?>
<sst xmlns="http://schemas.openxmlformats.org/spreadsheetml/2006/main" count="30" uniqueCount="10">
  <si>
    <t>Qty (Nos.)</t>
  </si>
  <si>
    <t>Dispatched</t>
  </si>
  <si>
    <t>ITEM</t>
  </si>
  <si>
    <t>TOSHIBA TRANSMISSION &amp; DISTRIBUTION SYSTEMS INDIA PVT LTD</t>
  </si>
  <si>
    <t>Radiator (1600x520x12)</t>
  </si>
  <si>
    <t>F.Y. 2024-25</t>
  </si>
  <si>
    <t>F.Y. 2025-26</t>
  </si>
  <si>
    <t>F.Y. 20226-27</t>
  </si>
  <si>
    <t>Upto 21.09.2026</t>
  </si>
  <si>
    <t>Radiator (1600x520x17)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</si>
</sst>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1" fillId="0" borderId="0" xfId="0" applyFont="1"/>
    <xf numFmtId="17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I14" sqref="I14"/>
    </sheetView>
  </sheetViews>
  <sheetFormatPr defaultRowHeight="14.4" x14ac:dyDescent="0.3"/>
  <cols>
    <col min="1" max="1" width="29.33203125" customWidth="1"/>
    <col min="2" max="2" width="12.33203125" style="3" customWidth="1"/>
    <col min="3" max="3" width="21" style="3" customWidth="1"/>
  </cols>
  <sheetData>
    <row r="1" spans="1:3" x14ac:dyDescent="0.3">
      <c r="A1" s="9" t="s">
        <v>3</v>
      </c>
      <c r="B1" s="9"/>
      <c r="C1" s="9"/>
    </row>
    <row r="2" spans="1:3" x14ac:dyDescent="0.3">
      <c r="A2" s="2" t="s">
        <v>2</v>
      </c>
      <c r="B2" s="1" t="s">
        <v>0</v>
      </c>
      <c r="C2" s="1" t="s">
        <v>1</v>
      </c>
    </row>
    <row r="3" spans="1:3" x14ac:dyDescent="0.3">
      <c r="A3" s="4" t="s">
        <v>4</v>
      </c>
      <c r="B3" s="5">
        <v>5</v>
      </c>
      <c r="C3" s="6">
        <v>45597</v>
      </c>
    </row>
    <row r="4" spans="1:3" x14ac:dyDescent="0.3">
      <c r="A4" s="4" t="s">
        <v>4</v>
      </c>
      <c r="B4" s="5">
        <v>5</v>
      </c>
      <c r="C4" s="6">
        <v>45717</v>
      </c>
    </row>
    <row r="5" spans="1:3" x14ac:dyDescent="0.3">
      <c r="A5" s="4" t="s">
        <v>4</v>
      </c>
      <c r="B5" s="5">
        <v>5</v>
      </c>
      <c r="C5" s="6">
        <v>45717</v>
      </c>
    </row>
    <row r="6" spans="1:3" x14ac:dyDescent="0.3">
      <c r="A6" s="2" t="s">
        <v>5</v>
      </c>
      <c r="B6" s="1">
        <f>SUM(B3:B5)</f>
        <v>15</v>
      </c>
      <c r="C6" s="8"/>
    </row>
    <row r="7" spans="1:3" x14ac:dyDescent="0.3">
      <c r="A7" s="4"/>
      <c r="B7" s="5"/>
      <c r="C7" s="6"/>
    </row>
    <row r="8" spans="1:3" x14ac:dyDescent="0.3">
      <c r="A8" s="4" t="s">
        <v>4</v>
      </c>
      <c r="B8" s="5">
        <f>20+12+18+10+20</f>
        <v>80</v>
      </c>
      <c r="C8" s="6">
        <v>45748</v>
      </c>
    </row>
    <row r="9" spans="1:3" x14ac:dyDescent="0.3">
      <c r="A9" s="4" t="s">
        <v>9</v>
      </c>
      <c r="B9" s="5">
        <f>8+7+5</f>
        <v>20</v>
      </c>
      <c r="C9" s="6">
        <v>45748</v>
      </c>
    </row>
    <row r="10" spans="1:3" x14ac:dyDescent="0.3">
      <c r="A10" s="4" t="s">
        <v>4</v>
      </c>
      <c r="B10" s="5">
        <f>21+32+32</f>
        <v>85</v>
      </c>
      <c r="C10" s="6">
        <v>45778</v>
      </c>
    </row>
    <row r="11" spans="1:3" x14ac:dyDescent="0.3">
      <c r="A11" s="4" t="s">
        <v>4</v>
      </c>
      <c r="B11" s="5">
        <f>24+16+4+20</f>
        <v>64</v>
      </c>
      <c r="C11" s="6">
        <v>45809</v>
      </c>
    </row>
    <row r="12" spans="1:3" x14ac:dyDescent="0.3">
      <c r="A12" s="4" t="s">
        <v>4</v>
      </c>
      <c r="B12" s="5">
        <f>1</f>
        <v>1</v>
      </c>
      <c r="C12" s="6">
        <v>45839</v>
      </c>
    </row>
    <row r="13" spans="1:3" x14ac:dyDescent="0.3">
      <c r="A13" s="4" t="s">
        <v>4</v>
      </c>
      <c r="B13" s="5">
        <f>32+36</f>
        <v>68</v>
      </c>
      <c r="C13" s="6">
        <v>45870</v>
      </c>
    </row>
    <row r="14" spans="1:3" x14ac:dyDescent="0.3">
      <c r="A14" s="4" t="s">
        <v>9</v>
      </c>
      <c r="B14" s="5">
        <f>17</f>
        <v>17</v>
      </c>
      <c r="C14" s="6">
        <v>45870</v>
      </c>
    </row>
    <row r="15" spans="1:3" x14ac:dyDescent="0.3">
      <c r="A15" s="4" t="s">
        <v>4</v>
      </c>
      <c r="B15" s="5">
        <f>28+28+24+24+21+25</f>
        <v>150</v>
      </c>
      <c r="C15" s="6">
        <v>45931</v>
      </c>
    </row>
    <row r="16" spans="1:3" x14ac:dyDescent="0.3">
      <c r="A16" s="4" t="s">
        <v>4</v>
      </c>
      <c r="B16" s="5">
        <f>24+28+28</f>
        <v>80</v>
      </c>
      <c r="C16" s="6">
        <v>45962</v>
      </c>
    </row>
    <row r="17" spans="1:3" x14ac:dyDescent="0.3">
      <c r="A17" s="4" t="s">
        <v>4</v>
      </c>
      <c r="B17" s="5">
        <f>20</f>
        <v>20</v>
      </c>
      <c r="C17" s="6">
        <v>45992</v>
      </c>
    </row>
    <row r="18" spans="1:3" x14ac:dyDescent="0.3">
      <c r="A18" s="4" t="s">
        <v>4</v>
      </c>
      <c r="B18" s="5">
        <f>32+16-32</f>
        <v>16</v>
      </c>
      <c r="C18" s="6">
        <v>46023</v>
      </c>
    </row>
    <row r="19" spans="1:3" x14ac:dyDescent="0.3">
      <c r="A19" s="4" t="s">
        <v>4</v>
      </c>
      <c r="B19" s="5">
        <f>24</f>
        <v>24</v>
      </c>
      <c r="C19" s="6">
        <v>46054</v>
      </c>
    </row>
    <row r="20" spans="1:3" x14ac:dyDescent="0.3">
      <c r="A20" s="4" t="s">
        <v>4</v>
      </c>
      <c r="B20" s="5">
        <f>30+30+24+24+24+24</f>
        <v>156</v>
      </c>
      <c r="C20" s="6">
        <v>46082</v>
      </c>
    </row>
    <row r="21" spans="1:3" s="7" customFormat="1" x14ac:dyDescent="0.3">
      <c r="A21" s="2" t="s">
        <v>6</v>
      </c>
      <c r="B21" s="1">
        <f>SUM(B8:B20)</f>
        <v>781</v>
      </c>
      <c r="C21" s="8"/>
    </row>
    <row r="22" spans="1:3" x14ac:dyDescent="0.3">
      <c r="A22" s="4"/>
      <c r="B22" s="5"/>
      <c r="C22" s="6"/>
    </row>
    <row r="23" spans="1:3" x14ac:dyDescent="0.3">
      <c r="A23" s="4" t="s">
        <v>4</v>
      </c>
      <c r="B23" s="5">
        <f>24+32+22+32+32</f>
        <v>142</v>
      </c>
      <c r="C23" s="6">
        <v>46113</v>
      </c>
    </row>
    <row r="24" spans="1:3" x14ac:dyDescent="0.3">
      <c r="A24" s="4" t="s">
        <v>4</v>
      </c>
      <c r="B24" s="5">
        <f>28+32+20+28+32+24+34</f>
        <v>198</v>
      </c>
      <c r="C24" s="6">
        <v>46143</v>
      </c>
    </row>
    <row r="25" spans="1:3" x14ac:dyDescent="0.3">
      <c r="A25" s="4" t="s">
        <v>4</v>
      </c>
      <c r="B25" s="5">
        <f>28+28+4+8+16+32+32+32+26</f>
        <v>206</v>
      </c>
      <c r="C25" s="6">
        <v>46174</v>
      </c>
    </row>
    <row r="26" spans="1:3" x14ac:dyDescent="0.3">
      <c r="A26" s="4" t="s">
        <v>4</v>
      </c>
      <c r="B26" s="5">
        <f>32+32+32+32+32+28+32+32+30</f>
        <v>282</v>
      </c>
      <c r="C26" s="6">
        <v>46204</v>
      </c>
    </row>
    <row r="27" spans="1:3" x14ac:dyDescent="0.3">
      <c r="A27" s="4" t="s">
        <v>4</v>
      </c>
      <c r="B27" s="5">
        <f>32+32+32+32</f>
        <v>128</v>
      </c>
      <c r="C27" s="6">
        <v>46235</v>
      </c>
    </row>
    <row r="28" spans="1:3" x14ac:dyDescent="0.3">
      <c r="A28" s="4" t="s">
        <v>4</v>
      </c>
      <c r="B28" s="5">
        <f>32+32</f>
        <v>64</v>
      </c>
      <c r="C28" s="6" t="s">
        <v>8</v>
      </c>
    </row>
    <row r="29" spans="1:3" s="7" customFormat="1" x14ac:dyDescent="0.3">
      <c r="A29" s="2" t="s">
        <v>7</v>
      </c>
      <c r="B29" s="1">
        <f>SUM(B23:B28)</f>
        <v>1020</v>
      </c>
      <c r="C29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KAMAL YADAV</cp:lastModifiedBy>
  <dcterms:created xsi:type="dcterms:W3CDTF">2015-06-05T18:17:20Z</dcterms:created>
  <dcterms:modified xsi:type="dcterms:W3CDTF">2026-09-22T05:47:32Z</dcterms:modified>
</cp:coreProperties>
</file>